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D:\Drive\github\GlobalDeltaSeaLevel\"/>
    </mc:Choice>
  </mc:AlternateContent>
  <xr:revisionPtr revIDLastSave="0" documentId="13_ncr:1_{E58103B9-794A-4B04-9D07-E89405BEA670}" xr6:coauthVersionLast="47" xr6:coauthVersionMax="47" xr10:uidLastSave="{00000000-0000-0000-0000-000000000000}"/>
  <bookViews>
    <workbookView xWindow="19725" yWindow="3015" windowWidth="17640" windowHeight="163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1" l="1"/>
  <c r="K10" i="1"/>
</calcChain>
</file>

<file path=xl/sharedStrings.xml><?xml version="1.0" encoding="utf-8"?>
<sst xmlns="http://schemas.openxmlformats.org/spreadsheetml/2006/main" count="116" uniqueCount="72">
  <si>
    <t>Amazon</t>
  </si>
  <si>
    <t>SA</t>
  </si>
  <si>
    <t>Arno</t>
  </si>
  <si>
    <t>EU</t>
  </si>
  <si>
    <t>Brazos</t>
  </si>
  <si>
    <t>NA</t>
  </si>
  <si>
    <t>Ceyan</t>
  </si>
  <si>
    <t>Chao</t>
  </si>
  <si>
    <t>AS</t>
  </si>
  <si>
    <t>Colorado, MX</t>
  </si>
  <si>
    <t>Colorado, TX</t>
  </si>
  <si>
    <t>AF</t>
  </si>
  <si>
    <t>Copper</t>
  </si>
  <si>
    <t>AO</t>
  </si>
  <si>
    <t>Danube</t>
  </si>
  <si>
    <t>Ebro</t>
  </si>
  <si>
    <t>Eel, CA</t>
  </si>
  <si>
    <t>Fly</t>
  </si>
  <si>
    <t>Fraser</t>
  </si>
  <si>
    <t>Ganges-Brahmaputra</t>
  </si>
  <si>
    <t>Godavari</t>
  </si>
  <si>
    <t>Homathko</t>
  </si>
  <si>
    <t>Indigirka</t>
  </si>
  <si>
    <t>Indus</t>
  </si>
  <si>
    <t>Irriwaddy</t>
  </si>
  <si>
    <t>Klamath</t>
  </si>
  <si>
    <t>Klinaklini</t>
  </si>
  <si>
    <t>Kolyma</t>
  </si>
  <si>
    <t>Krishna</t>
  </si>
  <si>
    <t>Lena</t>
  </si>
  <si>
    <t>Limpopo</t>
  </si>
  <si>
    <t>MacKenzie</t>
  </si>
  <si>
    <t>Magdalena</t>
  </si>
  <si>
    <t>Mahanadi</t>
  </si>
  <si>
    <t>Mekong</t>
  </si>
  <si>
    <t>Mississippi</t>
  </si>
  <si>
    <t>Niger</t>
  </si>
  <si>
    <t>Nile</t>
  </si>
  <si>
    <t>Orange</t>
  </si>
  <si>
    <t>AU</t>
  </si>
  <si>
    <t>Orinoco</t>
  </si>
  <si>
    <t>Parana</t>
  </si>
  <si>
    <t>Pechora</t>
  </si>
  <si>
    <t>Pescara</t>
  </si>
  <si>
    <t>Po</t>
  </si>
  <si>
    <t>Rhone</t>
  </si>
  <si>
    <t>Song Hong</t>
  </si>
  <si>
    <t>Squamish</t>
  </si>
  <si>
    <t>Tigris</t>
  </si>
  <si>
    <t>Var</t>
  </si>
  <si>
    <t>Vistula</t>
  </si>
  <si>
    <t>Volga</t>
  </si>
  <si>
    <t>Waipaoa</t>
  </si>
  <si>
    <t>Yana</t>
  </si>
  <si>
    <t>Yangtze</t>
  </si>
  <si>
    <t>Yellow</t>
  </si>
  <si>
    <t>Yukon</t>
  </si>
  <si>
    <t>Zhujiang</t>
  </si>
  <si>
    <t>Name</t>
  </si>
  <si>
    <t>Continent</t>
  </si>
  <si>
    <t>Continent nr</t>
  </si>
  <si>
    <t>Discharge_prist (m3/s)</t>
  </si>
  <si>
    <t>QRiver_prist (kg/s)</t>
  </si>
  <si>
    <t>ChannelSlope (m/m)</t>
  </si>
  <si>
    <t>CN_prist Pre-dam</t>
  </si>
  <si>
    <t>CN_dist Modern</t>
  </si>
  <si>
    <t>Discharge_dist (m3/s)</t>
  </si>
  <si>
    <t>QRiver_dist (kg/s)</t>
  </si>
  <si>
    <t>Qtide (kg/s)</t>
  </si>
  <si>
    <t>Qwave (kg/s)</t>
  </si>
  <si>
    <t>Delta Area (km2)</t>
  </si>
  <si>
    <t>BasinID2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</si>
</sst>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E+00"/>
    <numFmt numFmtId="165" formatCode="0.0E+0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164" fontId="3" fillId="0" borderId="0" xfId="0" applyNumberFormat="1" applyFon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1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" formatCode="0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0.0E+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0.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0.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0.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0.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2B1135-4B96-4069-8BF6-E1039DC33D76}" name="Table1" displayName="Table1" ref="A1:N52" totalsRowShown="0" headerRowDxfId="23" dataDxfId="22">
  <autoFilter ref="A1:N52" xr:uid="{CA2B1135-4B96-4069-8BF6-E1039DC33D76}"/>
  <sortState xmlns:xlrd2="http://schemas.microsoft.com/office/spreadsheetml/2017/richdata2" ref="A2:N52">
    <sortCondition ref="B1:B52"/>
  </sortState>
  <tableColumns count="14">
    <tableColumn id="1" xr3:uid="{47794E17-9304-4155-A8E3-E0E29291C46A}" name="BasinID2" dataDxfId="0"/>
    <tableColumn id="2" xr3:uid="{D42AC07B-CAD1-4424-A8D3-BA04242B4579}" name="Name" dataDxfId="21"/>
    <tableColumn id="3" xr3:uid="{D28DA6EB-166F-4B30-BBD3-B322558C8111}" name="Continent" dataDxfId="20"/>
    <tableColumn id="4" xr3:uid="{56B0874D-B01D-4B0C-A6CD-36E504A44F2C}" name="Continent nr" dataDxfId="19"/>
    <tableColumn id="5" xr3:uid="{E03B452E-12D4-4CC6-BDD1-C624D888DEA6}" name="Discharge_prist (m3/s)" dataDxfId="18"/>
    <tableColumn id="6" xr3:uid="{4D28E880-38EA-4A00-83E9-2FF69629002D}" name="QRiver_prist (kg/s)" dataDxfId="17"/>
    <tableColumn id="7" xr3:uid="{BDB032AF-9160-4E1D-86F9-E1F7D7A84300}" name="ChannelSlope (m/m)" dataDxfId="16"/>
    <tableColumn id="8" xr3:uid="{C5727128-7DD4-4FCF-8E0C-5CB8899A6ECD}" name="CN_prist Pre-dam" dataDxfId="15"/>
    <tableColumn id="9" xr3:uid="{522D4EDD-C6DC-4F08-9744-7EEE613AE7AD}" name="CN_dist Modern" dataDxfId="14"/>
    <tableColumn id="10" xr3:uid="{D2D77D37-BABC-4084-B773-E27C2A76136C}" name="Discharge_dist (m3/s)" dataDxfId="13"/>
    <tableColumn id="11" xr3:uid="{2D7E8619-E730-4A2B-AE79-33BEC31B3118}" name="QRiver_dist (kg/s)" dataDxfId="12"/>
    <tableColumn id="12" xr3:uid="{1B697A2A-85D7-460F-8A67-BD6A04785C42}" name="Qtide (kg/s)" dataDxfId="11"/>
    <tableColumn id="13" xr3:uid="{2D25F53C-E4F5-4AEE-BA2A-B31DAD6E72B2}" name="Qwave (kg/s)" dataDxfId="10"/>
    <tableColumn id="14" xr3:uid="{D0E09E8F-63DA-4B08-BD91-4FDDB9985FFB}" name="Delta Area (km2)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tabSelected="1" workbookViewId="0"/>
  </sheetViews>
  <sheetFormatPr defaultColWidth="9.140625" defaultRowHeight="15.75" x14ac:dyDescent="0.25"/>
  <cols>
    <col min="1" max="1" width="21.85546875" style="4" customWidth="1"/>
    <col min="2" max="2" width="19.7109375" style="4" bestFit="1" customWidth="1"/>
    <col min="3" max="3" width="14.28515625" style="4" customWidth="1"/>
    <col min="4" max="4" width="17.28515625" style="4" customWidth="1"/>
    <col min="5" max="5" width="20" style="5" customWidth="1"/>
    <col min="6" max="6" width="17.140625" style="5" customWidth="1"/>
    <col min="7" max="7" width="18.5703125" style="5" customWidth="1"/>
    <col min="8" max="8" width="12.85546875" style="4" customWidth="1"/>
    <col min="9" max="9" width="11.85546875" style="4" customWidth="1"/>
    <col min="10" max="10" width="19" style="5" customWidth="1"/>
    <col min="11" max="11" width="16.140625" style="5" customWidth="1"/>
    <col min="12" max="12" width="10" style="5" bestFit="1" customWidth="1"/>
    <col min="13" max="13" width="11.28515625" style="4" customWidth="1"/>
    <col min="14" max="14" width="14.7109375" style="4" customWidth="1"/>
    <col min="15" max="15" width="15.5703125" style="4" customWidth="1"/>
    <col min="16" max="16" width="11.85546875" style="4" bestFit="1" customWidth="1"/>
    <col min="17" max="18" width="9.140625" style="4"/>
    <col min="20" max="16384" width="9.140625" style="4"/>
  </cols>
  <sheetData>
    <row r="1" spans="1:19" s="1" customFormat="1" x14ac:dyDescent="0.25">
      <c r="A1" s="1" t="s">
        <v>71</v>
      </c>
      <c r="B1" s="1" t="s">
        <v>58</v>
      </c>
      <c r="C1" s="1" t="s">
        <v>59</v>
      </c>
      <c r="D1" s="1" t="s">
        <v>60</v>
      </c>
      <c r="E1" s="2" t="s">
        <v>61</v>
      </c>
      <c r="F1" s="2" t="s">
        <v>62</v>
      </c>
      <c r="G1" s="2" t="s">
        <v>63</v>
      </c>
      <c r="H1" s="1" t="s">
        <v>64</v>
      </c>
      <c r="I1" s="1" t="s">
        <v>65</v>
      </c>
      <c r="J1" s="2" t="s">
        <v>66</v>
      </c>
      <c r="K1" s="2" t="s">
        <v>67</v>
      </c>
      <c r="L1" s="2" t="s">
        <v>68</v>
      </c>
      <c r="M1" s="1" t="s">
        <v>69</v>
      </c>
      <c r="N1" s="1" t="s">
        <v>70</v>
      </c>
      <c r="S1" s="3"/>
    </row>
    <row r="2" spans="1:19" x14ac:dyDescent="0.25">
      <c r="A2" s="9">
        <v>540974</v>
      </c>
      <c r="B2" s="4" t="s">
        <v>0</v>
      </c>
      <c r="C2" s="4" t="s">
        <v>1</v>
      </c>
      <c r="D2" s="4">
        <v>4</v>
      </c>
      <c r="E2" s="6">
        <v>138530</v>
      </c>
      <c r="F2" s="4">
        <v>31142</v>
      </c>
      <c r="G2" s="5">
        <v>4.0000000000000003E-5</v>
      </c>
      <c r="H2" s="4">
        <v>9</v>
      </c>
      <c r="I2" s="4">
        <v>4</v>
      </c>
      <c r="J2" s="6">
        <v>138650</v>
      </c>
      <c r="K2" s="5">
        <v>31203</v>
      </c>
      <c r="L2" s="5">
        <v>10621</v>
      </c>
      <c r="M2" s="7">
        <v>0.29304146766662598</v>
      </c>
      <c r="N2" s="4">
        <v>467100</v>
      </c>
      <c r="O2" s="8"/>
      <c r="Q2" s="5"/>
      <c r="R2" s="7"/>
    </row>
    <row r="3" spans="1:19" x14ac:dyDescent="0.25">
      <c r="A3" s="9">
        <v>2042065</v>
      </c>
      <c r="B3" s="4" t="s">
        <v>2</v>
      </c>
      <c r="C3" s="4" t="s">
        <v>3</v>
      </c>
      <c r="D3" s="4">
        <v>5</v>
      </c>
      <c r="E3" s="4">
        <v>2.8628999999999998</v>
      </c>
      <c r="F3" s="4">
        <v>2.1621999999999999</v>
      </c>
      <c r="G3" s="5">
        <v>7.6000000000000004E-4</v>
      </c>
      <c r="H3" s="4">
        <v>1</v>
      </c>
      <c r="I3" s="4">
        <v>1</v>
      </c>
      <c r="J3" s="4">
        <v>2.8628999999999998</v>
      </c>
      <c r="K3" s="5">
        <v>0</v>
      </c>
      <c r="L3" s="5">
        <v>0.26595999999999997</v>
      </c>
      <c r="M3" s="7">
        <v>174.53</v>
      </c>
      <c r="N3" s="4">
        <v>30</v>
      </c>
      <c r="O3" s="8"/>
      <c r="R3" s="7"/>
    </row>
    <row r="4" spans="1:19" x14ac:dyDescent="0.25">
      <c r="A4" s="9">
        <v>4281751</v>
      </c>
      <c r="B4" s="4" t="s">
        <v>4</v>
      </c>
      <c r="C4" s="4" t="s">
        <v>5</v>
      </c>
      <c r="D4" s="4">
        <v>1</v>
      </c>
      <c r="E4" s="4">
        <v>137.13</v>
      </c>
      <c r="F4" s="4">
        <v>728.94</v>
      </c>
      <c r="G4" s="5">
        <v>3.8000000000000002E-4</v>
      </c>
      <c r="H4" s="4">
        <v>2</v>
      </c>
      <c r="I4" s="4">
        <v>1</v>
      </c>
      <c r="J4" s="4">
        <v>150.72999999999999</v>
      </c>
      <c r="K4" s="5">
        <v>511.68</v>
      </c>
      <c r="L4" s="5">
        <v>28.754999999999999</v>
      </c>
      <c r="M4" s="7">
        <v>114.93608856201172</v>
      </c>
      <c r="N4" s="4">
        <v>60</v>
      </c>
      <c r="O4" s="8"/>
      <c r="R4" s="7"/>
    </row>
    <row r="5" spans="1:19" x14ac:dyDescent="0.25">
      <c r="A5" s="9">
        <v>3173945</v>
      </c>
      <c r="B5" s="4" t="s">
        <v>6</v>
      </c>
      <c r="C5" s="4" t="s">
        <v>3</v>
      </c>
      <c r="D5" s="4">
        <v>5</v>
      </c>
      <c r="E5" s="4">
        <v>111.84</v>
      </c>
      <c r="F5" s="4">
        <v>315.44</v>
      </c>
      <c r="G5" s="5">
        <v>1.2999999999999999E-4</v>
      </c>
      <c r="H5" s="4">
        <v>2</v>
      </c>
      <c r="I5" s="4">
        <v>1</v>
      </c>
      <c r="J5" s="4">
        <v>99.316000000000003</v>
      </c>
      <c r="K5" s="5">
        <v>227.1</v>
      </c>
      <c r="L5" s="5">
        <v>14.101000000000001</v>
      </c>
      <c r="M5" s="7">
        <v>68.012</v>
      </c>
      <c r="N5" s="4">
        <v>150</v>
      </c>
      <c r="O5" s="8"/>
      <c r="R5" s="7"/>
    </row>
    <row r="6" spans="1:19" x14ac:dyDescent="0.25">
      <c r="A6" s="9">
        <v>3279946</v>
      </c>
      <c r="B6" s="4" t="s">
        <v>7</v>
      </c>
      <c r="C6" s="4" t="s">
        <v>8</v>
      </c>
      <c r="D6" s="4">
        <v>6</v>
      </c>
      <c r="E6" s="4">
        <v>1264.9000000000001</v>
      </c>
      <c r="F6" s="4">
        <v>891.08</v>
      </c>
      <c r="G6" s="5">
        <v>3.0000000000000001E-5</v>
      </c>
      <c r="H6" s="4">
        <v>2</v>
      </c>
      <c r="I6" s="4">
        <v>3</v>
      </c>
      <c r="J6" s="4">
        <v>1115</v>
      </c>
      <c r="K6" s="5">
        <v>690.36</v>
      </c>
      <c r="L6" s="5">
        <v>1014.2</v>
      </c>
      <c r="M6" s="7">
        <v>100</v>
      </c>
      <c r="N6" s="4">
        <v>5500</v>
      </c>
      <c r="O6" s="8"/>
      <c r="R6" s="7"/>
    </row>
    <row r="7" spans="1:19" x14ac:dyDescent="0.25">
      <c r="A7" s="9">
        <v>4056471</v>
      </c>
      <c r="B7" s="4" t="s">
        <v>9</v>
      </c>
      <c r="C7" s="4" t="s">
        <v>5</v>
      </c>
      <c r="D7" s="4">
        <v>1</v>
      </c>
      <c r="E7" s="4">
        <v>233.57</v>
      </c>
      <c r="F7" s="4">
        <v>7722</v>
      </c>
      <c r="G7" s="5">
        <v>4.0000000000000002E-4</v>
      </c>
      <c r="H7" s="4">
        <v>3</v>
      </c>
      <c r="I7" s="4">
        <v>2</v>
      </c>
      <c r="J7" s="4">
        <v>170.65</v>
      </c>
      <c r="K7" s="5">
        <v>4.0772192657227864</v>
      </c>
      <c r="L7" s="5">
        <v>5209.3999999999996</v>
      </c>
      <c r="M7" s="7">
        <v>28.501999999999999</v>
      </c>
      <c r="N7" s="4">
        <v>634</v>
      </c>
      <c r="O7" s="8"/>
      <c r="R7" s="7"/>
    </row>
    <row r="8" spans="1:19" x14ac:dyDescent="0.25">
      <c r="A8" s="9">
        <v>4301321</v>
      </c>
      <c r="B8" s="4" t="s">
        <v>10</v>
      </c>
      <c r="C8" s="4" t="s">
        <v>5</v>
      </c>
      <c r="D8" s="4">
        <v>1</v>
      </c>
      <c r="E8" s="4">
        <v>49.655000000000001</v>
      </c>
      <c r="F8" s="4">
        <v>331.7</v>
      </c>
      <c r="G8" s="5">
        <v>2.7E-4</v>
      </c>
      <c r="H8" s="4">
        <v>3</v>
      </c>
      <c r="I8" s="4">
        <v>1</v>
      </c>
      <c r="J8" s="4">
        <v>57.292000000000002</v>
      </c>
      <c r="K8" s="5">
        <v>267.67</v>
      </c>
      <c r="L8" s="5">
        <v>6.1143000000000001</v>
      </c>
      <c r="M8" s="7">
        <v>161.83131408691406</v>
      </c>
      <c r="N8" s="4">
        <v>38</v>
      </c>
      <c r="O8" s="8"/>
      <c r="R8" s="7"/>
    </row>
    <row r="9" spans="1:19" x14ac:dyDescent="0.25">
      <c r="A9" s="9">
        <v>548</v>
      </c>
      <c r="B9" s="4" t="s">
        <v>12</v>
      </c>
      <c r="C9" s="4" t="s">
        <v>13</v>
      </c>
      <c r="D9" s="4">
        <v>8</v>
      </c>
      <c r="E9" s="4">
        <v>1289.9000000000001</v>
      </c>
      <c r="F9" s="4">
        <v>342.5</v>
      </c>
      <c r="G9" s="5">
        <v>2.9999999999999997E-4</v>
      </c>
      <c r="H9" s="4">
        <v>7</v>
      </c>
      <c r="I9" s="4">
        <v>10</v>
      </c>
      <c r="J9" s="4">
        <v>1289.9000000000001</v>
      </c>
      <c r="K9" s="5">
        <v>342.5</v>
      </c>
      <c r="L9" s="5">
        <v>1181.7</v>
      </c>
      <c r="M9" s="7">
        <v>766.39</v>
      </c>
      <c r="N9" s="4">
        <v>1920</v>
      </c>
      <c r="O9" s="8"/>
      <c r="R9" s="7"/>
    </row>
    <row r="10" spans="1:19" x14ac:dyDescent="0.25">
      <c r="A10" s="9">
        <v>1832055</v>
      </c>
      <c r="B10" s="4" t="s">
        <v>14</v>
      </c>
      <c r="C10" s="4" t="s">
        <v>3</v>
      </c>
      <c r="D10" s="4">
        <v>5</v>
      </c>
      <c r="E10" s="4">
        <v>4209.6000000000004</v>
      </c>
      <c r="F10" s="4">
        <v>4294.8</v>
      </c>
      <c r="G10" s="5">
        <v>6.0000000000000002E-5</v>
      </c>
      <c r="H10" s="4">
        <v>7</v>
      </c>
      <c r="I10" s="4">
        <v>6</v>
      </c>
      <c r="J10" s="4">
        <v>4294.2</v>
      </c>
      <c r="K10" s="5">
        <f>F10*0.3</f>
        <v>1288.44</v>
      </c>
      <c r="L10" s="5">
        <v>228.34</v>
      </c>
      <c r="M10" s="7">
        <v>290</v>
      </c>
      <c r="N10" s="4">
        <v>4200</v>
      </c>
      <c r="O10" s="8"/>
      <c r="R10" s="7"/>
    </row>
    <row r="11" spans="1:19" x14ac:dyDescent="0.25">
      <c r="A11" s="9">
        <v>2433835</v>
      </c>
      <c r="B11" s="4" t="s">
        <v>15</v>
      </c>
      <c r="C11" s="4" t="s">
        <v>3</v>
      </c>
      <c r="D11" s="4">
        <v>5</v>
      </c>
      <c r="E11" s="4">
        <v>159.51</v>
      </c>
      <c r="F11" s="4">
        <v>703.11</v>
      </c>
      <c r="G11" s="5">
        <v>2.1000000000000001E-4</v>
      </c>
      <c r="H11" s="4">
        <v>4</v>
      </c>
      <c r="I11" s="4">
        <v>1</v>
      </c>
      <c r="J11" s="4">
        <v>166.19</v>
      </c>
      <c r="K11" s="5">
        <v>28</v>
      </c>
      <c r="L11" s="5">
        <v>11.457000000000001</v>
      </c>
      <c r="M11" s="7">
        <v>70</v>
      </c>
      <c r="N11" s="4">
        <v>338</v>
      </c>
      <c r="O11" s="8"/>
      <c r="R11" s="7"/>
    </row>
    <row r="12" spans="1:19" x14ac:dyDescent="0.25">
      <c r="A12" s="9">
        <v>3646801</v>
      </c>
      <c r="B12" s="4" t="s">
        <v>16</v>
      </c>
      <c r="C12" s="4" t="s">
        <v>5</v>
      </c>
      <c r="D12" s="4">
        <v>1</v>
      </c>
      <c r="E12" s="4">
        <v>227</v>
      </c>
      <c r="F12" s="4">
        <v>76.182000000000002</v>
      </c>
      <c r="G12" s="5">
        <v>5.0000000000000001E-4</v>
      </c>
      <c r="H12" s="4">
        <v>1</v>
      </c>
      <c r="I12" s="4">
        <v>1</v>
      </c>
      <c r="J12" s="4">
        <v>226.53</v>
      </c>
      <c r="K12" s="5">
        <v>75.260999999999996</v>
      </c>
      <c r="L12" s="5">
        <v>19.234999999999999</v>
      </c>
      <c r="M12" s="7">
        <v>2482.1</v>
      </c>
      <c r="N12" s="4">
        <v>20</v>
      </c>
      <c r="O12" s="8"/>
      <c r="R12" s="7"/>
    </row>
    <row r="13" spans="1:19" x14ac:dyDescent="0.25">
      <c r="A13" s="9">
        <v>7126506</v>
      </c>
      <c r="B13" s="4" t="s">
        <v>17</v>
      </c>
      <c r="C13" s="4" t="s">
        <v>8</v>
      </c>
      <c r="D13" s="4">
        <v>6</v>
      </c>
      <c r="E13" s="4">
        <v>4992.2</v>
      </c>
      <c r="F13" s="4">
        <v>2585.9</v>
      </c>
      <c r="G13" s="5">
        <v>1.5E-5</v>
      </c>
      <c r="H13" s="4">
        <v>5</v>
      </c>
      <c r="I13" s="4">
        <v>4</v>
      </c>
      <c r="J13" s="4">
        <v>4992.2</v>
      </c>
      <c r="K13" s="5">
        <v>2585.9</v>
      </c>
      <c r="L13" s="5">
        <v>16995.060546875</v>
      </c>
      <c r="M13" s="7">
        <v>56.351551055908203</v>
      </c>
      <c r="N13" s="4">
        <v>2800</v>
      </c>
      <c r="O13" s="8"/>
      <c r="R13" s="7"/>
    </row>
    <row r="14" spans="1:19" x14ac:dyDescent="0.25">
      <c r="A14" s="9">
        <v>2619721</v>
      </c>
      <c r="B14" s="4" t="s">
        <v>18</v>
      </c>
      <c r="C14" s="4" t="s">
        <v>5</v>
      </c>
      <c r="D14" s="4">
        <v>1</v>
      </c>
      <c r="E14" s="4">
        <v>3720.8</v>
      </c>
      <c r="F14" s="4">
        <v>1300.3</v>
      </c>
      <c r="G14" s="5">
        <v>6.0000000000000002E-5</v>
      </c>
      <c r="H14" s="4">
        <v>5</v>
      </c>
      <c r="I14" s="4">
        <v>2</v>
      </c>
      <c r="J14" s="4">
        <v>3718.4</v>
      </c>
      <c r="K14" s="5">
        <v>1253.8</v>
      </c>
      <c r="L14" s="5">
        <v>351.79</v>
      </c>
      <c r="M14" s="7">
        <v>1.4021999999999999</v>
      </c>
      <c r="N14" s="4">
        <v>1600</v>
      </c>
      <c r="O14" s="8"/>
      <c r="R14" s="7"/>
    </row>
    <row r="15" spans="1:19" x14ac:dyDescent="0.25">
      <c r="A15" s="9">
        <v>2259146</v>
      </c>
      <c r="B15" s="4" t="s">
        <v>19</v>
      </c>
      <c r="C15" s="4" t="s">
        <v>8</v>
      </c>
      <c r="D15" s="4">
        <v>6</v>
      </c>
      <c r="E15" s="4">
        <v>38181</v>
      </c>
      <c r="F15" s="4">
        <v>53453</v>
      </c>
      <c r="G15" s="5">
        <v>2.0000000000000002E-5</v>
      </c>
      <c r="H15" s="4">
        <v>32</v>
      </c>
      <c r="I15" s="4">
        <v>3</v>
      </c>
      <c r="J15" s="4">
        <v>36095</v>
      </c>
      <c r="K15" s="5">
        <v>72644</v>
      </c>
      <c r="L15" s="5">
        <v>166050</v>
      </c>
      <c r="M15" s="7">
        <v>212.63667297363281</v>
      </c>
      <c r="N15" s="4">
        <v>105641</v>
      </c>
      <c r="O15" s="8"/>
      <c r="R15" s="7"/>
    </row>
    <row r="16" spans="1:19" x14ac:dyDescent="0.25">
      <c r="A16" s="9">
        <v>2996486</v>
      </c>
      <c r="B16" s="4" t="s">
        <v>20</v>
      </c>
      <c r="C16" s="4" t="s">
        <v>8</v>
      </c>
      <c r="D16" s="4">
        <v>6</v>
      </c>
      <c r="E16" s="4">
        <v>4324.1000000000004</v>
      </c>
      <c r="F16" s="4">
        <v>3336.8</v>
      </c>
      <c r="G16" s="5">
        <v>5.9999999999999995E-4</v>
      </c>
      <c r="H16" s="4">
        <v>7</v>
      </c>
      <c r="I16" s="4">
        <v>3</v>
      </c>
      <c r="J16" s="4">
        <v>3928.3</v>
      </c>
      <c r="K16" s="5">
        <v>5249</v>
      </c>
      <c r="L16" s="5">
        <v>1223.5</v>
      </c>
      <c r="M16" s="7">
        <v>376.32</v>
      </c>
      <c r="N16" s="4">
        <v>4400</v>
      </c>
      <c r="O16" s="8"/>
      <c r="R16" s="7"/>
    </row>
    <row r="17" spans="1:18" x14ac:dyDescent="0.25">
      <c r="A17" s="9">
        <v>2155461</v>
      </c>
      <c r="B17" s="4" t="s">
        <v>21</v>
      </c>
      <c r="C17" s="4" t="s">
        <v>5</v>
      </c>
      <c r="D17" s="4">
        <v>1</v>
      </c>
      <c r="E17" s="4">
        <v>121.98</v>
      </c>
      <c r="F17" s="4">
        <v>47.279000000000003</v>
      </c>
      <c r="G17" s="5">
        <v>2.2000000000000001E-4</v>
      </c>
      <c r="H17" s="4">
        <v>2</v>
      </c>
      <c r="I17" s="4">
        <v>1</v>
      </c>
      <c r="J17" s="4">
        <v>121.98</v>
      </c>
      <c r="K17" s="5">
        <v>47.262</v>
      </c>
      <c r="L17" s="5">
        <v>19.858000000000001</v>
      </c>
      <c r="M17" s="7">
        <v>1</v>
      </c>
      <c r="N17" s="4">
        <v>15</v>
      </c>
      <c r="O17" s="8"/>
      <c r="R17" s="7"/>
    </row>
    <row r="18" spans="1:18" x14ac:dyDescent="0.25">
      <c r="A18" s="9">
        <v>3338</v>
      </c>
      <c r="B18" s="4" t="s">
        <v>22</v>
      </c>
      <c r="C18" s="4" t="s">
        <v>13</v>
      </c>
      <c r="D18" s="4">
        <v>8</v>
      </c>
      <c r="E18" s="4">
        <v>593.88</v>
      </c>
      <c r="F18" s="4">
        <v>1913.7</v>
      </c>
      <c r="G18" s="5">
        <v>1.4999999999999999E-4</v>
      </c>
      <c r="H18" s="4">
        <v>28</v>
      </c>
      <c r="I18" s="4">
        <v>28</v>
      </c>
      <c r="J18" s="4">
        <v>593.88</v>
      </c>
      <c r="K18" s="5">
        <v>10.534278223591466</v>
      </c>
      <c r="L18" s="5">
        <v>19.349</v>
      </c>
      <c r="M18" s="7">
        <v>15.478935241699219</v>
      </c>
      <c r="N18" s="4">
        <v>4800</v>
      </c>
      <c r="O18" s="8"/>
      <c r="R18" s="7"/>
    </row>
    <row r="19" spans="1:18" x14ac:dyDescent="0.25">
      <c r="A19" s="9">
        <v>2180336</v>
      </c>
      <c r="B19" s="4" t="s">
        <v>23</v>
      </c>
      <c r="C19" s="4" t="s">
        <v>8</v>
      </c>
      <c r="D19" s="4">
        <v>6</v>
      </c>
      <c r="E19" s="4">
        <v>5137.3999999999996</v>
      </c>
      <c r="F19" s="4">
        <v>24097</v>
      </c>
      <c r="G19" s="5">
        <v>1.2E-4</v>
      </c>
      <c r="H19" s="4">
        <v>9</v>
      </c>
      <c r="I19" s="4">
        <v>1</v>
      </c>
      <c r="J19" s="4">
        <v>4812</v>
      </c>
      <c r="K19" s="5">
        <v>20456</v>
      </c>
      <c r="L19" s="5">
        <v>27114</v>
      </c>
      <c r="M19" s="7">
        <v>42.709911346435547</v>
      </c>
      <c r="N19" s="4">
        <v>6780</v>
      </c>
      <c r="O19" s="8"/>
      <c r="R19" s="7"/>
    </row>
    <row r="20" spans="1:18" x14ac:dyDescent="0.25">
      <c r="A20" s="9">
        <v>3032116</v>
      </c>
      <c r="B20" s="4" t="s">
        <v>24</v>
      </c>
      <c r="C20" s="4" t="s">
        <v>8</v>
      </c>
      <c r="D20" s="4">
        <v>6</v>
      </c>
      <c r="E20" s="4">
        <v>12676</v>
      </c>
      <c r="F20" s="4">
        <v>10031</v>
      </c>
      <c r="G20" s="5">
        <v>2.0000000000000002E-5</v>
      </c>
      <c r="H20" s="4">
        <v>17</v>
      </c>
      <c r="I20" s="4">
        <v>4</v>
      </c>
      <c r="J20" s="4">
        <v>12529</v>
      </c>
      <c r="K20" s="5">
        <v>10020</v>
      </c>
      <c r="L20" s="5">
        <v>50116</v>
      </c>
      <c r="M20" s="7">
        <v>22.83</v>
      </c>
      <c r="N20" s="4">
        <v>30570</v>
      </c>
      <c r="O20" s="8"/>
      <c r="R20" s="7"/>
    </row>
    <row r="21" spans="1:18" x14ac:dyDescent="0.25">
      <c r="A21" s="9">
        <v>3576671</v>
      </c>
      <c r="B21" s="4" t="s">
        <v>25</v>
      </c>
      <c r="C21" s="4" t="s">
        <v>5</v>
      </c>
      <c r="D21" s="4">
        <v>1</v>
      </c>
      <c r="E21" s="4">
        <v>419.69</v>
      </c>
      <c r="F21" s="4">
        <v>171.15</v>
      </c>
      <c r="G21" s="5">
        <v>1.2999999999999999E-4</v>
      </c>
      <c r="H21" s="4">
        <v>1</v>
      </c>
      <c r="I21" s="4">
        <v>1</v>
      </c>
      <c r="J21" s="4">
        <v>417.08</v>
      </c>
      <c r="K21" s="5">
        <v>147.49</v>
      </c>
      <c r="L21" s="5">
        <v>14.766999999999999</v>
      </c>
      <c r="M21" s="7">
        <v>2388.6</v>
      </c>
      <c r="N21" s="4">
        <v>28</v>
      </c>
      <c r="O21" s="8"/>
      <c r="R21" s="7"/>
    </row>
    <row r="22" spans="1:18" x14ac:dyDescent="0.25">
      <c r="A22" s="9">
        <v>2131071</v>
      </c>
      <c r="B22" s="4" t="s">
        <v>26</v>
      </c>
      <c r="C22" s="4" t="s">
        <v>5</v>
      </c>
      <c r="D22" s="4">
        <v>1</v>
      </c>
      <c r="E22" s="4">
        <v>158.41999999999999</v>
      </c>
      <c r="F22" s="4">
        <v>19.088999999999999</v>
      </c>
      <c r="G22" s="5">
        <v>3.3E-4</v>
      </c>
      <c r="H22" s="4">
        <v>5</v>
      </c>
      <c r="I22" s="4">
        <v>2</v>
      </c>
      <c r="J22" s="4">
        <v>158.38999999999999</v>
      </c>
      <c r="K22" s="5">
        <v>19.074000000000002</v>
      </c>
      <c r="L22" s="5">
        <v>7.0416999999999996</v>
      </c>
      <c r="M22" s="7">
        <v>1</v>
      </c>
      <c r="N22" s="4">
        <v>16</v>
      </c>
      <c r="O22" s="8"/>
      <c r="R22" s="7"/>
    </row>
    <row r="23" spans="1:18" x14ac:dyDescent="0.25">
      <c r="A23" s="9">
        <v>2678</v>
      </c>
      <c r="B23" s="4" t="s">
        <v>27</v>
      </c>
      <c r="C23" s="4" t="s">
        <v>13</v>
      </c>
      <c r="D23" s="4">
        <v>8</v>
      </c>
      <c r="E23" s="4">
        <v>1523.7</v>
      </c>
      <c r="F23" s="4">
        <v>2591.1</v>
      </c>
      <c r="G23" s="5">
        <v>8.0000000000000007E-5</v>
      </c>
      <c r="H23" s="4">
        <v>10</v>
      </c>
      <c r="I23" s="4">
        <v>3</v>
      </c>
      <c r="J23" s="4">
        <v>1523.1</v>
      </c>
      <c r="K23" s="5">
        <v>2280.6</v>
      </c>
      <c r="L23" s="5">
        <v>71.617000000000004</v>
      </c>
      <c r="M23" s="7">
        <v>31.974615097045898</v>
      </c>
      <c r="N23" s="4">
        <v>6400</v>
      </c>
      <c r="O23" s="8"/>
      <c r="R23" s="7"/>
    </row>
    <row r="24" spans="1:18" x14ac:dyDescent="0.25">
      <c r="A24" s="9">
        <v>3117246</v>
      </c>
      <c r="B24" s="4" t="s">
        <v>28</v>
      </c>
      <c r="C24" s="4" t="s">
        <v>8</v>
      </c>
      <c r="D24" s="4">
        <v>6</v>
      </c>
      <c r="E24" s="4">
        <v>2711.5</v>
      </c>
      <c r="F24" s="4">
        <v>2422.5</v>
      </c>
      <c r="G24" s="5">
        <v>4.6999999999999999E-4</v>
      </c>
      <c r="H24" s="4">
        <v>5</v>
      </c>
      <c r="I24" s="4">
        <v>3</v>
      </c>
      <c r="J24" s="4">
        <v>2506.5</v>
      </c>
      <c r="K24" s="5">
        <v>2197.5</v>
      </c>
      <c r="L24" s="5">
        <v>1368.4</v>
      </c>
      <c r="M24" s="7">
        <v>276.41000000000003</v>
      </c>
      <c r="N24" s="4">
        <v>2100</v>
      </c>
      <c r="O24" s="8"/>
      <c r="R24" s="7"/>
    </row>
    <row r="25" spans="1:18" x14ac:dyDescent="0.25">
      <c r="A25" s="9">
        <v>3648</v>
      </c>
      <c r="B25" s="4" t="s">
        <v>29</v>
      </c>
      <c r="C25" s="4" t="s">
        <v>13</v>
      </c>
      <c r="D25" s="4">
        <v>8</v>
      </c>
      <c r="E25" s="4">
        <v>8491.7999999999993</v>
      </c>
      <c r="F25" s="4">
        <v>5437.9</v>
      </c>
      <c r="G25" s="5">
        <v>1.0000000000000001E-5</v>
      </c>
      <c r="H25" s="4">
        <v>115</v>
      </c>
      <c r="I25" s="4">
        <v>115</v>
      </c>
      <c r="J25" s="4">
        <v>8470.6</v>
      </c>
      <c r="K25" s="5">
        <v>5101.8999999999996</v>
      </c>
      <c r="L25" s="5">
        <v>271.11</v>
      </c>
      <c r="M25" s="7">
        <v>4.193387508392334</v>
      </c>
      <c r="N25" s="4">
        <v>24000</v>
      </c>
      <c r="O25" s="8"/>
      <c r="R25" s="7"/>
    </row>
    <row r="26" spans="1:18" x14ac:dyDescent="0.25">
      <c r="A26" s="9">
        <v>1548922</v>
      </c>
      <c r="B26" s="4" t="s">
        <v>30</v>
      </c>
      <c r="C26" s="4" t="s">
        <v>11</v>
      </c>
      <c r="D26" s="4">
        <v>2</v>
      </c>
      <c r="E26" s="4">
        <v>87.694999999999993</v>
      </c>
      <c r="F26" s="4">
        <v>878.96</v>
      </c>
      <c r="G26" s="5">
        <v>5.4000000000000001E-4</v>
      </c>
      <c r="H26" s="4">
        <v>1</v>
      </c>
      <c r="I26" s="4">
        <v>1</v>
      </c>
      <c r="J26" s="4">
        <v>98.5</v>
      </c>
      <c r="K26" s="5">
        <v>696.93993645000251</v>
      </c>
      <c r="L26" s="5">
        <v>109.52</v>
      </c>
      <c r="M26" s="7">
        <v>638.76</v>
      </c>
      <c r="N26" s="4">
        <v>800</v>
      </c>
      <c r="O26" s="8"/>
      <c r="R26" s="7"/>
    </row>
    <row r="27" spans="1:18" x14ac:dyDescent="0.25">
      <c r="A27" s="9">
        <v>2528</v>
      </c>
      <c r="B27" s="4" t="s">
        <v>31</v>
      </c>
      <c r="C27" s="4" t="s">
        <v>13</v>
      </c>
      <c r="D27" s="4">
        <v>8</v>
      </c>
      <c r="E27" s="4">
        <v>7030.7</v>
      </c>
      <c r="F27" s="4">
        <v>4320.2</v>
      </c>
      <c r="G27" s="5">
        <v>5.0000000000000002E-5</v>
      </c>
      <c r="H27" s="4">
        <v>23</v>
      </c>
      <c r="I27" s="4">
        <v>23</v>
      </c>
      <c r="J27" s="4">
        <v>7033.6</v>
      </c>
      <c r="K27" s="5">
        <v>4309.8</v>
      </c>
      <c r="L27" s="5">
        <v>652.79999999999995</v>
      </c>
      <c r="M27" s="7">
        <v>11.247849464416504</v>
      </c>
      <c r="N27" s="4">
        <v>13000</v>
      </c>
      <c r="O27" s="8"/>
      <c r="R27" s="7"/>
    </row>
    <row r="28" spans="1:18" x14ac:dyDescent="0.25">
      <c r="A28" s="9">
        <v>94474</v>
      </c>
      <c r="B28" s="4" t="s">
        <v>32</v>
      </c>
      <c r="C28" s="4" t="s">
        <v>1</v>
      </c>
      <c r="D28" s="4">
        <v>4</v>
      </c>
      <c r="E28" s="4">
        <v>7150.6</v>
      </c>
      <c r="F28" s="4">
        <v>8134.1</v>
      </c>
      <c r="G28" s="5">
        <v>1E-4</v>
      </c>
      <c r="H28" s="4">
        <v>7</v>
      </c>
      <c r="I28" s="4">
        <v>1</v>
      </c>
      <c r="J28" s="4">
        <v>7123.3</v>
      </c>
      <c r="K28" s="5">
        <v>8069.8</v>
      </c>
      <c r="L28" s="5">
        <v>646.65</v>
      </c>
      <c r="M28" s="7">
        <v>1080.242431640625</v>
      </c>
      <c r="N28" s="4">
        <v>7500</v>
      </c>
      <c r="O28" s="8"/>
      <c r="R28" s="7"/>
    </row>
    <row r="29" spans="1:18" x14ac:dyDescent="0.25">
      <c r="A29" s="9">
        <v>2763826</v>
      </c>
      <c r="B29" s="4" t="s">
        <v>33</v>
      </c>
      <c r="C29" s="4" t="s">
        <v>8</v>
      </c>
      <c r="D29" s="4">
        <v>6</v>
      </c>
      <c r="E29" s="4">
        <v>2761.4</v>
      </c>
      <c r="F29" s="4">
        <v>1384.4</v>
      </c>
      <c r="G29" s="5">
        <v>1E-4</v>
      </c>
      <c r="H29" s="4">
        <v>11</v>
      </c>
      <c r="I29" s="4">
        <v>2</v>
      </c>
      <c r="J29" s="4">
        <v>2493.6999999999998</v>
      </c>
      <c r="K29" s="5">
        <v>2130.5</v>
      </c>
      <c r="L29" s="5">
        <v>808.47</v>
      </c>
      <c r="M29" s="7">
        <v>230.32774353027344</v>
      </c>
      <c r="N29" s="4">
        <v>5900</v>
      </c>
      <c r="O29" s="8"/>
      <c r="R29" s="7"/>
    </row>
    <row r="30" spans="1:18" x14ac:dyDescent="0.25">
      <c r="A30" s="9">
        <v>4050686</v>
      </c>
      <c r="B30" s="4" t="s">
        <v>34</v>
      </c>
      <c r="C30" s="4" t="s">
        <v>8</v>
      </c>
      <c r="D30" s="4">
        <v>6</v>
      </c>
      <c r="E30" s="4">
        <v>16361</v>
      </c>
      <c r="F30" s="4">
        <v>15737</v>
      </c>
      <c r="G30" s="5">
        <v>3.0000000000000001E-5</v>
      </c>
      <c r="H30" s="4">
        <v>9</v>
      </c>
      <c r="I30" s="4">
        <v>7</v>
      </c>
      <c r="J30" s="4">
        <v>15953</v>
      </c>
      <c r="K30" s="5">
        <v>15394</v>
      </c>
      <c r="L30" s="5">
        <v>351480</v>
      </c>
      <c r="M30" s="7">
        <v>124.58943748474121</v>
      </c>
      <c r="N30" s="4">
        <v>49000</v>
      </c>
      <c r="O30" s="8"/>
      <c r="R30" s="7"/>
    </row>
    <row r="31" spans="1:18" x14ac:dyDescent="0.25">
      <c r="A31" s="9">
        <v>4267691</v>
      </c>
      <c r="B31" s="4" t="s">
        <v>35</v>
      </c>
      <c r="C31" s="4" t="s">
        <v>5</v>
      </c>
      <c r="D31" s="4">
        <v>1</v>
      </c>
      <c r="E31" s="4">
        <v>15126</v>
      </c>
      <c r="F31" s="4">
        <v>27284</v>
      </c>
      <c r="G31" s="5">
        <v>4.0000000000000003E-5</v>
      </c>
      <c r="H31" s="4">
        <v>71</v>
      </c>
      <c r="I31" s="4">
        <v>5</v>
      </c>
      <c r="J31" s="4">
        <v>15475</v>
      </c>
      <c r="K31" s="5">
        <v>20364</v>
      </c>
      <c r="L31" s="5">
        <v>8518.2000000000007</v>
      </c>
      <c r="M31" s="7">
        <v>1008.6076889038</v>
      </c>
      <c r="N31" s="4">
        <v>38568</v>
      </c>
      <c r="O31" s="8"/>
      <c r="R31" s="7"/>
    </row>
    <row r="32" spans="1:18" x14ac:dyDescent="0.25">
      <c r="A32" s="9">
        <v>908572</v>
      </c>
      <c r="B32" s="4" t="s">
        <v>36</v>
      </c>
      <c r="C32" s="4" t="s">
        <v>11</v>
      </c>
      <c r="D32" s="4">
        <v>2</v>
      </c>
      <c r="E32" s="4">
        <v>8748.6</v>
      </c>
      <c r="F32" s="4">
        <v>13654</v>
      </c>
      <c r="G32" s="5">
        <v>6.9999999999999994E-5</v>
      </c>
      <c r="H32" s="4">
        <v>15</v>
      </c>
      <c r="I32" s="4">
        <v>5</v>
      </c>
      <c r="J32" s="4">
        <v>8699.6</v>
      </c>
      <c r="K32" s="5">
        <v>14204</v>
      </c>
      <c r="L32" s="5">
        <v>1583.2</v>
      </c>
      <c r="M32" s="7">
        <v>611.29</v>
      </c>
      <c r="N32" s="4">
        <v>17135</v>
      </c>
      <c r="O32" s="8"/>
      <c r="R32" s="7"/>
    </row>
    <row r="33" spans="1:18" x14ac:dyDescent="0.25">
      <c r="A33" s="9">
        <v>200412</v>
      </c>
      <c r="B33" s="4" t="s">
        <v>37</v>
      </c>
      <c r="C33" s="4" t="s">
        <v>11</v>
      </c>
      <c r="D33" s="4">
        <v>2</v>
      </c>
      <c r="E33" s="4">
        <v>7669</v>
      </c>
      <c r="F33" s="4">
        <v>33631</v>
      </c>
      <c r="G33" s="5">
        <v>9.0000000000000006E-5</v>
      </c>
      <c r="H33" s="4">
        <v>15</v>
      </c>
      <c r="I33" s="4">
        <v>2</v>
      </c>
      <c r="J33" s="4">
        <v>7452.7</v>
      </c>
      <c r="K33" s="5">
        <f>F33*0.02</f>
        <v>672.62</v>
      </c>
      <c r="L33" s="5">
        <v>2008.8</v>
      </c>
      <c r="M33" s="7">
        <v>320.85147094726563</v>
      </c>
      <c r="N33" s="4">
        <v>24512</v>
      </c>
      <c r="O33" s="8"/>
      <c r="R33" s="7"/>
    </row>
    <row r="34" spans="1:18" x14ac:dyDescent="0.25">
      <c r="A34" s="9">
        <v>1596892</v>
      </c>
      <c r="B34" s="4" t="s">
        <v>38</v>
      </c>
      <c r="C34" s="4" t="s">
        <v>11</v>
      </c>
      <c r="D34" s="4">
        <v>2</v>
      </c>
      <c r="E34" s="4">
        <v>45.043999999999997</v>
      </c>
      <c r="F34" s="4">
        <v>710.17</v>
      </c>
      <c r="G34" s="5">
        <v>1E-3</v>
      </c>
      <c r="H34" s="4">
        <v>1</v>
      </c>
      <c r="I34" s="4">
        <v>1</v>
      </c>
      <c r="J34" s="4">
        <v>35.64</v>
      </c>
      <c r="K34" s="5">
        <v>297.79000000000002</v>
      </c>
      <c r="L34" s="5">
        <v>6.9215</v>
      </c>
      <c r="M34" s="7">
        <v>2926.8</v>
      </c>
      <c r="N34" s="4">
        <v>60</v>
      </c>
      <c r="O34" s="8"/>
      <c r="R34" s="7"/>
    </row>
    <row r="35" spans="1:18" x14ac:dyDescent="0.25">
      <c r="A35" s="9">
        <v>268554</v>
      </c>
      <c r="B35" s="4" t="s">
        <v>40</v>
      </c>
      <c r="C35" s="4" t="s">
        <v>1</v>
      </c>
      <c r="D35" s="4">
        <v>4</v>
      </c>
      <c r="E35" s="4">
        <v>34074</v>
      </c>
      <c r="F35" s="4">
        <v>19594</v>
      </c>
      <c r="G35" s="5">
        <v>2.0000000000000002E-5</v>
      </c>
      <c r="H35" s="4">
        <v>24</v>
      </c>
      <c r="I35" s="4">
        <v>6</v>
      </c>
      <c r="J35" s="4">
        <v>34057</v>
      </c>
      <c r="K35" s="5">
        <v>19474</v>
      </c>
      <c r="L35" s="5">
        <v>7205.9</v>
      </c>
      <c r="M35" s="7">
        <v>416.8</v>
      </c>
      <c r="N35" s="4">
        <v>35642</v>
      </c>
      <c r="O35" s="8"/>
      <c r="R35" s="7"/>
    </row>
    <row r="36" spans="1:18" x14ac:dyDescent="0.25">
      <c r="A36" s="9">
        <v>1210764</v>
      </c>
      <c r="B36" s="4" t="s">
        <v>41</v>
      </c>
      <c r="C36" s="4" t="s">
        <v>1</v>
      </c>
      <c r="D36" s="4">
        <v>4</v>
      </c>
      <c r="E36" s="4">
        <v>26530</v>
      </c>
      <c r="F36" s="4">
        <v>8202.7999999999993</v>
      </c>
      <c r="G36" s="5">
        <v>4.0000000000000003E-5</v>
      </c>
      <c r="H36" s="4">
        <v>12</v>
      </c>
      <c r="I36" s="4">
        <v>6</v>
      </c>
      <c r="J36" s="4">
        <v>26612</v>
      </c>
      <c r="K36" s="5">
        <v>8127.3</v>
      </c>
      <c r="L36" s="5">
        <v>2439.6999999999998</v>
      </c>
      <c r="M36" s="7">
        <v>1</v>
      </c>
      <c r="N36" s="4">
        <v>12975</v>
      </c>
      <c r="O36" s="8"/>
      <c r="R36" s="7"/>
    </row>
    <row r="37" spans="1:18" x14ac:dyDescent="0.25">
      <c r="A37" s="9">
        <v>2178</v>
      </c>
      <c r="B37" s="4" t="s">
        <v>42</v>
      </c>
      <c r="C37" s="4" t="s">
        <v>13</v>
      </c>
      <c r="D37" s="4">
        <v>8</v>
      </c>
      <c r="E37" s="4">
        <v>3419.7</v>
      </c>
      <c r="F37" s="4">
        <v>612.59</v>
      </c>
      <c r="G37" s="5">
        <v>5.0000000000000002E-5</v>
      </c>
      <c r="H37" s="4">
        <v>23</v>
      </c>
      <c r="I37" s="4">
        <v>3</v>
      </c>
      <c r="J37" s="4">
        <v>3419.7</v>
      </c>
      <c r="K37" s="5">
        <v>612.59</v>
      </c>
      <c r="L37" s="5">
        <v>421.48</v>
      </c>
      <c r="M37" s="7">
        <v>3.0987048149108887</v>
      </c>
      <c r="N37" s="4">
        <v>3000</v>
      </c>
      <c r="O37" s="8"/>
      <c r="R37" s="7"/>
    </row>
    <row r="38" spans="1:18" x14ac:dyDescent="0.25">
      <c r="A38" s="9">
        <v>2224895</v>
      </c>
      <c r="B38" s="4" t="s">
        <v>43</v>
      </c>
      <c r="C38" s="4" t="s">
        <v>3</v>
      </c>
      <c r="D38" s="4">
        <v>5</v>
      </c>
      <c r="E38" s="4">
        <v>7.806</v>
      </c>
      <c r="F38" s="4">
        <v>41.031999999999996</v>
      </c>
      <c r="G38" s="5">
        <v>8.5999999999999998E-4</v>
      </c>
      <c r="H38" s="4">
        <v>1</v>
      </c>
      <c r="I38" s="4">
        <v>1</v>
      </c>
      <c r="J38" s="4">
        <v>7.6974</v>
      </c>
      <c r="K38" s="5">
        <v>10.394</v>
      </c>
      <c r="L38" s="5">
        <v>0.17197000000000001</v>
      </c>
      <c r="M38" s="7">
        <v>26.161999999999999</v>
      </c>
      <c r="N38" s="4">
        <v>5</v>
      </c>
      <c r="O38" s="8"/>
      <c r="R38" s="7"/>
    </row>
    <row r="39" spans="1:18" x14ac:dyDescent="0.25">
      <c r="A39" s="9">
        <v>1873515</v>
      </c>
      <c r="B39" s="4" t="s">
        <v>44</v>
      </c>
      <c r="C39" s="4" t="s">
        <v>3</v>
      </c>
      <c r="D39" s="4">
        <v>5</v>
      </c>
      <c r="E39" s="4">
        <v>813.08</v>
      </c>
      <c r="F39" s="4">
        <v>959.87</v>
      </c>
      <c r="G39" s="5">
        <v>8.0000000000000007E-5</v>
      </c>
      <c r="H39" s="4">
        <v>10</v>
      </c>
      <c r="I39" s="4">
        <v>4</v>
      </c>
      <c r="J39" s="4">
        <v>820.46</v>
      </c>
      <c r="K39" s="5">
        <v>300.93</v>
      </c>
      <c r="L39" s="5">
        <v>674.92</v>
      </c>
      <c r="M39" s="7">
        <v>41.765000000000001</v>
      </c>
      <c r="N39" s="4">
        <v>1050</v>
      </c>
      <c r="O39" s="8"/>
      <c r="R39" s="7"/>
    </row>
    <row r="40" spans="1:18" x14ac:dyDescent="0.25">
      <c r="A40" s="9">
        <v>2098785</v>
      </c>
      <c r="B40" s="4" t="s">
        <v>45</v>
      </c>
      <c r="C40" s="4" t="s">
        <v>3</v>
      </c>
      <c r="D40" s="4">
        <v>5</v>
      </c>
      <c r="E40" s="4">
        <v>1179.3</v>
      </c>
      <c r="F40" s="4">
        <v>1605.2</v>
      </c>
      <c r="G40" s="5">
        <v>1.1E-4</v>
      </c>
      <c r="H40" s="4">
        <v>4</v>
      </c>
      <c r="I40" s="4">
        <v>2</v>
      </c>
      <c r="J40" s="4">
        <v>1177.8</v>
      </c>
      <c r="K40" s="5">
        <v>556.07000000000005</v>
      </c>
      <c r="L40" s="5">
        <v>101.8</v>
      </c>
      <c r="M40" s="7">
        <v>162.4</v>
      </c>
      <c r="N40" s="4">
        <v>1540</v>
      </c>
      <c r="O40" s="8"/>
      <c r="R40" s="7"/>
    </row>
    <row r="41" spans="1:18" x14ac:dyDescent="0.25">
      <c r="A41" s="9">
        <v>2765116</v>
      </c>
      <c r="B41" s="4" t="s">
        <v>46</v>
      </c>
      <c r="C41" s="4" t="s">
        <v>8</v>
      </c>
      <c r="D41" s="4">
        <v>6</v>
      </c>
      <c r="E41" s="4">
        <v>2485</v>
      </c>
      <c r="F41" s="4">
        <v>2590.1</v>
      </c>
      <c r="G41" s="5">
        <v>5.0000000000000002E-5</v>
      </c>
      <c r="H41" s="4">
        <v>10</v>
      </c>
      <c r="I41" s="4">
        <v>10</v>
      </c>
      <c r="J41" s="4">
        <v>2427.5</v>
      </c>
      <c r="K41" s="5">
        <v>3325.7</v>
      </c>
      <c r="L41" s="5">
        <v>4462.8999999999996</v>
      </c>
      <c r="M41" s="7">
        <v>73.222053527832031</v>
      </c>
      <c r="N41" s="4">
        <v>11400</v>
      </c>
      <c r="O41" s="8"/>
      <c r="R41" s="7"/>
    </row>
    <row r="42" spans="1:18" x14ac:dyDescent="0.25">
      <c r="A42" s="9">
        <v>2457481</v>
      </c>
      <c r="B42" s="4" t="s">
        <v>47</v>
      </c>
      <c r="C42" s="4" t="s">
        <v>5</v>
      </c>
      <c r="D42" s="4">
        <v>1</v>
      </c>
      <c r="E42" s="4">
        <v>227.25</v>
      </c>
      <c r="F42" s="4">
        <v>37.972999999999999</v>
      </c>
      <c r="G42" s="5">
        <v>1.2E-4</v>
      </c>
      <c r="H42" s="4">
        <v>2</v>
      </c>
      <c r="I42" s="4">
        <v>1</v>
      </c>
      <c r="J42" s="4">
        <v>227.27</v>
      </c>
      <c r="K42" s="5">
        <v>37.39</v>
      </c>
      <c r="L42" s="5">
        <v>17.12</v>
      </c>
      <c r="M42" s="7">
        <v>1</v>
      </c>
      <c r="N42" s="4">
        <v>15</v>
      </c>
      <c r="O42" s="8"/>
      <c r="R42" s="7"/>
    </row>
    <row r="43" spans="1:18" x14ac:dyDescent="0.25">
      <c r="A43" s="9">
        <v>3355105</v>
      </c>
      <c r="B43" s="4" t="s">
        <v>48</v>
      </c>
      <c r="C43" s="4" t="s">
        <v>3</v>
      </c>
      <c r="D43" s="4">
        <v>5</v>
      </c>
      <c r="E43" s="4">
        <v>1514.1</v>
      </c>
      <c r="F43" s="4">
        <v>18362</v>
      </c>
      <c r="G43" s="5">
        <v>1E-4</v>
      </c>
      <c r="H43" s="4">
        <v>4</v>
      </c>
      <c r="I43" s="4">
        <v>2</v>
      </c>
      <c r="J43" s="4">
        <v>1218.2</v>
      </c>
      <c r="K43" s="5">
        <v>8201.6</v>
      </c>
      <c r="L43" s="5">
        <v>14624</v>
      </c>
      <c r="M43" s="7">
        <v>3.7519052028656006</v>
      </c>
      <c r="N43" s="4">
        <v>3850</v>
      </c>
      <c r="O43" s="8"/>
      <c r="R43" s="7"/>
    </row>
    <row r="44" spans="1:18" x14ac:dyDescent="0.25">
      <c r="A44" s="9">
        <v>2045595</v>
      </c>
      <c r="B44" s="4" t="s">
        <v>49</v>
      </c>
      <c r="C44" s="4" t="s">
        <v>3</v>
      </c>
      <c r="D44" s="4">
        <v>5</v>
      </c>
      <c r="E44" s="4">
        <v>16.263999999999999</v>
      </c>
      <c r="F44" s="4">
        <v>69.397000000000006</v>
      </c>
      <c r="G44" s="5">
        <v>8.0999999999999996E-4</v>
      </c>
      <c r="H44" s="4">
        <v>1</v>
      </c>
      <c r="I44" s="4">
        <v>1</v>
      </c>
      <c r="J44" s="4">
        <v>16.332000000000001</v>
      </c>
      <c r="K44" s="5">
        <v>43.731000000000002</v>
      </c>
      <c r="L44" s="5">
        <v>0.12042</v>
      </c>
      <c r="M44" s="7">
        <v>43.680999999999997</v>
      </c>
      <c r="N44" s="4">
        <v>5</v>
      </c>
      <c r="O44" s="8"/>
      <c r="R44" s="7"/>
    </row>
    <row r="45" spans="1:18" x14ac:dyDescent="0.25">
      <c r="A45" s="9">
        <v>962135</v>
      </c>
      <c r="B45" s="4" t="s">
        <v>50</v>
      </c>
      <c r="C45" s="4" t="s">
        <v>3</v>
      </c>
      <c r="D45" s="4">
        <v>5</v>
      </c>
      <c r="E45" s="4">
        <v>311.49</v>
      </c>
      <c r="F45" s="4">
        <v>720.54</v>
      </c>
      <c r="G45" s="5">
        <v>1E-4</v>
      </c>
      <c r="H45" s="4">
        <v>5</v>
      </c>
      <c r="I45" s="4">
        <v>1</v>
      </c>
      <c r="J45" s="4">
        <v>318.08999999999997</v>
      </c>
      <c r="K45" s="5">
        <v>40</v>
      </c>
      <c r="L45" s="5">
        <v>4.8596000000000004</v>
      </c>
      <c r="M45" s="7">
        <v>162.88919067382813</v>
      </c>
      <c r="N45" s="4">
        <v>500</v>
      </c>
      <c r="O45" s="8"/>
      <c r="R45" s="7"/>
    </row>
    <row r="46" spans="1:18" x14ac:dyDescent="0.25">
      <c r="A46" s="9">
        <v>1743925</v>
      </c>
      <c r="B46" s="4" t="s">
        <v>51</v>
      </c>
      <c r="C46" s="4" t="s">
        <v>3</v>
      </c>
      <c r="D46" s="4">
        <v>5</v>
      </c>
      <c r="E46" s="4">
        <v>7537.8</v>
      </c>
      <c r="F46" s="4">
        <v>4682.3</v>
      </c>
      <c r="G46" s="5">
        <v>2.0000000000000002E-5</v>
      </c>
      <c r="H46" s="4">
        <v>85</v>
      </c>
      <c r="I46" s="4">
        <v>100</v>
      </c>
      <c r="J46" s="4">
        <v>7503.3</v>
      </c>
      <c r="K46" s="5">
        <v>1482.8</v>
      </c>
      <c r="L46" s="5">
        <v>75.31</v>
      </c>
      <c r="M46" s="7">
        <v>1</v>
      </c>
      <c r="N46" s="4">
        <v>5400</v>
      </c>
      <c r="O46" s="8"/>
      <c r="R46" s="7"/>
    </row>
    <row r="47" spans="1:18" x14ac:dyDescent="0.25">
      <c r="A47" s="9">
        <v>1766287</v>
      </c>
      <c r="B47" s="4" t="s">
        <v>52</v>
      </c>
      <c r="C47" s="4" t="s">
        <v>39</v>
      </c>
      <c r="D47" s="4">
        <v>7</v>
      </c>
      <c r="E47" s="4">
        <v>33.741</v>
      </c>
      <c r="F47" s="4">
        <v>6.1307999999999998</v>
      </c>
      <c r="G47" s="5">
        <v>4.6600000000000001E-3</v>
      </c>
      <c r="H47" s="4">
        <v>1</v>
      </c>
      <c r="I47" s="4">
        <v>1</v>
      </c>
      <c r="J47" s="4">
        <v>33.801000000000002</v>
      </c>
      <c r="K47" s="5">
        <v>6.1380999999999997</v>
      </c>
      <c r="L47" s="5">
        <v>0.53549000000000002</v>
      </c>
      <c r="M47" s="7">
        <v>566.24</v>
      </c>
      <c r="N47" s="4">
        <v>15</v>
      </c>
      <c r="O47" s="8"/>
      <c r="R47" s="7"/>
    </row>
    <row r="48" spans="1:18" x14ac:dyDescent="0.25">
      <c r="A48" s="9">
        <v>3318</v>
      </c>
      <c r="B48" s="4" t="s">
        <v>53</v>
      </c>
      <c r="C48" s="4" t="s">
        <v>13</v>
      </c>
      <c r="D48" s="4">
        <v>8</v>
      </c>
      <c r="E48" s="4">
        <v>360.04</v>
      </c>
      <c r="F48" s="4">
        <v>925.56</v>
      </c>
      <c r="G48" s="5">
        <v>3.0000000000000001E-5</v>
      </c>
      <c r="H48" s="4">
        <v>14</v>
      </c>
      <c r="I48" s="4">
        <v>14</v>
      </c>
      <c r="J48" s="4">
        <v>360.04</v>
      </c>
      <c r="K48" s="5">
        <v>925.56</v>
      </c>
      <c r="L48" s="5">
        <v>7.5540000000000003</v>
      </c>
      <c r="M48" s="7">
        <v>27.451982498168945</v>
      </c>
      <c r="N48" s="4">
        <v>1200</v>
      </c>
      <c r="O48" s="8"/>
      <c r="R48" s="7"/>
    </row>
    <row r="49" spans="1:18" x14ac:dyDescent="0.25">
      <c r="A49" s="9">
        <v>1780166</v>
      </c>
      <c r="B49" s="4" t="s">
        <v>54</v>
      </c>
      <c r="C49" s="4" t="s">
        <v>8</v>
      </c>
      <c r="D49" s="4">
        <v>6</v>
      </c>
      <c r="E49" s="4">
        <v>19898</v>
      </c>
      <c r="F49" s="4">
        <v>6097.6</v>
      </c>
      <c r="G49" s="5">
        <v>6.0000000000000002E-5</v>
      </c>
      <c r="H49" s="4">
        <v>4</v>
      </c>
      <c r="I49" s="4">
        <v>4</v>
      </c>
      <c r="J49" s="4">
        <v>19617</v>
      </c>
      <c r="K49" s="5">
        <v>8981.7999999999993</v>
      </c>
      <c r="L49" s="5">
        <v>17351</v>
      </c>
      <c r="M49" s="7">
        <v>24.589437484741211</v>
      </c>
      <c r="N49" s="4">
        <v>35000</v>
      </c>
      <c r="O49" s="8"/>
      <c r="R49" s="7"/>
    </row>
    <row r="50" spans="1:18" x14ac:dyDescent="0.25">
      <c r="A50" s="9">
        <v>1005716</v>
      </c>
      <c r="B50" s="4" t="s">
        <v>55</v>
      </c>
      <c r="C50" s="4" t="s">
        <v>8</v>
      </c>
      <c r="D50" s="4">
        <v>6</v>
      </c>
      <c r="E50" s="4">
        <v>1696.9</v>
      </c>
      <c r="F50" s="4">
        <v>7281.5</v>
      </c>
      <c r="G50" s="5">
        <v>1E-3</v>
      </c>
      <c r="H50" s="4">
        <v>5</v>
      </c>
      <c r="I50" s="4">
        <v>1</v>
      </c>
      <c r="J50" s="4">
        <v>1601.8</v>
      </c>
      <c r="K50" s="5">
        <v>3827.6</v>
      </c>
      <c r="L50" s="5">
        <v>1347.3</v>
      </c>
      <c r="M50" s="7">
        <v>61.068206787109375</v>
      </c>
      <c r="N50" s="4">
        <v>5710</v>
      </c>
      <c r="O50" s="8"/>
      <c r="R50" s="7"/>
    </row>
    <row r="51" spans="1:18" x14ac:dyDescent="0.25">
      <c r="A51" s="9">
        <v>1258</v>
      </c>
      <c r="B51" s="4" t="s">
        <v>56</v>
      </c>
      <c r="C51" s="4" t="s">
        <v>13</v>
      </c>
      <c r="D51" s="4">
        <v>8</v>
      </c>
      <c r="E51" s="4">
        <v>4021.9</v>
      </c>
      <c r="F51" s="4">
        <v>3307.6</v>
      </c>
      <c r="G51" s="5">
        <v>1.1E-4</v>
      </c>
      <c r="H51" s="4">
        <v>43</v>
      </c>
      <c r="I51" s="4">
        <v>43</v>
      </c>
      <c r="J51" s="4">
        <v>4022.1</v>
      </c>
      <c r="K51" s="5">
        <v>3306.5</v>
      </c>
      <c r="L51" s="5">
        <v>2592.6999999999998</v>
      </c>
      <c r="M51" s="7">
        <v>11.583861351013184</v>
      </c>
      <c r="N51" s="4">
        <v>5200</v>
      </c>
      <c r="O51" s="8"/>
      <c r="R51" s="7"/>
    </row>
    <row r="52" spans="1:18" x14ac:dyDescent="0.25">
      <c r="A52" s="9">
        <v>2372006</v>
      </c>
      <c r="B52" s="4" t="s">
        <v>57</v>
      </c>
      <c r="C52" s="4" t="s">
        <v>8</v>
      </c>
      <c r="D52" s="4">
        <v>6</v>
      </c>
      <c r="E52" s="4">
        <v>5709.7</v>
      </c>
      <c r="F52" s="4">
        <v>5385.6</v>
      </c>
      <c r="G52" s="5">
        <v>6.0000000000000002E-5</v>
      </c>
      <c r="H52" s="4">
        <v>12</v>
      </c>
      <c r="I52" s="4">
        <v>7</v>
      </c>
      <c r="J52" s="4">
        <v>5517.5</v>
      </c>
      <c r="K52" s="5">
        <v>9290.2999999999993</v>
      </c>
      <c r="L52" s="5">
        <v>12046</v>
      </c>
      <c r="M52" s="7">
        <v>27.225999999999999</v>
      </c>
      <c r="N52" s="4">
        <v>5200</v>
      </c>
      <c r="O52" s="8"/>
      <c r="R52" s="7"/>
    </row>
  </sheetData>
  <conditionalFormatting sqref="M5:M18 M20:M52">
    <cfRule type="expression" dxfId="8" priority="1">
      <formula>AS4&gt;1</formula>
    </cfRule>
  </conditionalFormatting>
  <conditionalFormatting sqref="N4:N8">
    <cfRule type="expression" dxfId="7" priority="2">
      <formula>AT4&gt;1</formula>
    </cfRule>
  </conditionalFormatting>
  <conditionalFormatting sqref="N11:N14">
    <cfRule type="expression" dxfId="6" priority="3">
      <formula>AT9&gt;1</formula>
    </cfRule>
  </conditionalFormatting>
  <conditionalFormatting sqref="N17:N20 N23:N38">
    <cfRule type="expression" dxfId="5" priority="4">
      <formula>AT13&gt;1</formula>
    </cfRule>
  </conditionalFormatting>
  <conditionalFormatting sqref="N22 N40">
    <cfRule type="expression" dxfId="4" priority="5">
      <formula>AT17&gt;1</formula>
    </cfRule>
  </conditionalFormatting>
  <conditionalFormatting sqref="N42:N46">
    <cfRule type="expression" dxfId="3" priority="7">
      <formula>AT36&gt;1</formula>
    </cfRule>
  </conditionalFormatting>
  <conditionalFormatting sqref="N48">
    <cfRule type="expression" dxfId="2" priority="8">
      <formula>AT41&gt;1</formula>
    </cfRule>
  </conditionalFormatting>
  <conditionalFormatting sqref="N52">
    <cfRule type="expression" dxfId="1" priority="14">
      <formula>AT42&gt;1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Nienhuis, J.H. (Jaap)</dc:creator>
  <cp:lastModifiedBy>Nienhuis, J.H. (Jaap)</cp:lastModifiedBy>
  <dcterms:created xsi:type="dcterms:W3CDTF">2015-06-05T18:17:20Z</dcterms:created>
  <dcterms:modified xsi:type="dcterms:W3CDTF">2023-01-18T13:37:05Z</dcterms:modified>
</cp:coreProperties>
</file>